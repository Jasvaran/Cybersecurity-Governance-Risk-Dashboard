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b88ebe3d7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c04f83c2a2474fc9"/>
    <x:sheet xmlns:r="http://schemas.openxmlformats.org/officeDocument/2006/relationships" name="Control Evidence Tracker" sheetId="2" r:id="R90712bc72c6340a0"/>
    <x:sheet xmlns:r="http://schemas.openxmlformats.org/officeDocument/2006/relationships" name="Executive Dashboard" sheetId="3" r:id="R296cad013219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67379f5d54070" /><Relationship Type="http://schemas.openxmlformats.org/officeDocument/2006/relationships/theme" Target="/xl/theme/theme1.xml" Id="R29d3f2e104024054" /><Relationship Type="http://schemas.openxmlformats.org/officeDocument/2006/relationships/sharedStrings" Target="/xl/sharedStrings.xml" Id="Rda9039d0fa9a4df5" /><Relationship Type="http://schemas.openxmlformats.org/officeDocument/2006/relationships/worksheet" Target="/xl/worksheets/sheet1.xml" Id="Rc04f83c2a2474fc9" /><Relationship Type="http://schemas.openxmlformats.org/officeDocument/2006/relationships/worksheet" Target="/xl/worksheets/sheet2.xml" Id="R90712bc72c6340a0" /><Relationship Type="http://schemas.openxmlformats.org/officeDocument/2006/relationships/worksheet" Target="/xl/worksheets/sheet3.xml" Id="R296cad0132194e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1722f660b049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Risks by Level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'Executive Dashboard'!$D$4:$D$6</c:f>
              <c:strCache>
                <c:ptCount val="0"/>
              </c:strCache>
            </c:strRef>
          </c:cat>
          <c:val>
            <c:numRef>
              <c:f>'Executive Dashboard'!$E$4:$E$6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1722f660b049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RegisterTable" displayName="RiskRegisterTable" ref="A1:L7" headerRowCount="1" totalsRowCount="0" totalsRowShown="0">
  <x:tableColumns count="12">
    <x:tableColumn id="1" name="Risk ID"/>
    <x:tableColumn id="2" name="Asset / Process"/>
    <x:tableColumn id="3" name="Risk Description"/>
    <x:tableColumn id="4" name="Likelihood (1-5)"/>
    <x:tableColumn id="5" name="Impact (1-5)"/>
    <x:tableColumn id="6" name="Risk Score"/>
    <x:tableColumn id="7" name="Risk Level"/>
    <x:tableColumn id="8" name="Existing Control"/>
    <x:tableColumn id="9" name="Treatment"/>
    <x:tableColumn id="10" name="Owner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rackerTable" displayName="EvidenceTrackerTable" ref="A1:I7" headerRowCount="1" totalsRowCount="0" totalsRowShown="0">
  <x:tableColumns count="9">
    <x:tableColumn id="1" name="Evidence ID"/>
    <x:tableColumn id="2" name="Control / Requirement"/>
    <x:tableColumn id="3" name="Evidence Requested"/>
    <x:tableColumn id="4" name="Evidence Owner"/>
    <x:tableColumn id="5" name="Date Requested"/>
    <x:tableColumn id="6" name="Due Date"/>
    <x:tableColumn id="7" name="Date Received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16690439647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49c8a50aeb48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223e30585a8414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28" hidden="0" customWidth="1"/>
    <x:col min="9" max="9" width="18" hidden="0" customWidth="1"/>
    <x:col min="10" max="10" width="16" hidden="0" customWidth="1"/>
    <x:col min="11" max="11" width="14" hidden="0" customWidth="1"/>
    <x:col min="12" max="12" width="28" hidden="0" customWidth="1"/>
  </x:cols>
  <x:sheetData>
    <x:row r="1" ht="30" customHeight="1">
      <x:c r="A1" s="6" t="str">
        <x:v>Risk ID</x:v>
      </x:c>
      <x:c r="B1" s="6" t="str">
        <x:v>Asset / Process</x:v>
      </x:c>
      <x:c r="C1" s="6" t="str">
        <x:v>Risk Description</x:v>
      </x:c>
      <x:c r="D1" s="6" t="str">
        <x:v>Likelihood (1-5)</x:v>
      </x:c>
      <x:c r="E1" s="6" t="str">
        <x:v>Impact (1-5)</x:v>
      </x:c>
      <x:c r="F1" s="6" t="str">
        <x:v>Risk Score</x:v>
      </x:c>
      <x:c r="G1" s="6" t="str">
        <x:v>Risk Level</x:v>
      </x:c>
      <x:c r="H1" s="6" t="str">
        <x:v>Existing Control</x:v>
      </x:c>
      <x:c r="I1" s="6" t="str">
        <x:v>Treatment</x:v>
      </x:c>
      <x:c r="J1" s="6" t="str">
        <x:v>Owner</x:v>
      </x:c>
      <x:c r="K1" s="6" t="str">
        <x:v>Status</x:v>
      </x:c>
      <x:c r="L1" s="6" t="str">
        <x:v>Notes</x:v>
      </x:c>
    </x:row>
    <x:row r="2">
      <x:c r="A2" s="8" t="str">
        <x:v>R-001</x:v>
      </x:c>
      <x:c r="B2" s="8" t="str">
        <x:v>Employee Laptops</x:v>
      </x:c>
      <x:c r="C2" s="8" t="str">
        <x:v>Malware infection could disrupt operations or expose company data</x:v>
      </x:c>
      <x:c r="D2" s="8" t="n">
        <x:v>4</x:v>
      </x:c>
      <x:c r="E2" s="8" t="n">
        <x:v>4</x:v>
      </x:c>
      <x:c r="F2" s="8" t="n">
        <x:f>D2*E2</x:f>
        <x:v>16</x:v>
      </x:c>
      <x:c r="G2" s="8" t="str">
        <x:f>IF(F2&gt;=15,"High",IF(F2&gt;=8,"Medium","Low"))</x:f>
        <x:v>High</x:v>
      </x:c>
      <x:c r="H2" s="8" t="str">
        <x:v>Endpoint protection and patching</x:v>
      </x:c>
      <x:c r="I2" s="8" t="str">
        <x:v>Mitigate</x:v>
      </x:c>
      <x:c r="J2" s="8" t="str">
        <x:v>IT Security</x:v>
      </x:c>
      <x:c r="K2" s="8" t="str">
        <x:v>In Progress</x:v>
      </x:c>
      <x:c r="L2" s="8" t="str">
        <x:v>Sample risk for practice</x:v>
      </x:c>
    </x:row>
    <x:row r="3">
      <x:c r="A3" s="8" t="str">
        <x:v>R-002</x:v>
      </x:c>
      <x:c r="B3" s="8" t="str">
        <x:v>Customer Database</x:v>
      </x:c>
      <x:c r="C3" s="8" t="str">
        <x:v>Unauthorized access could expose sensitive customer information</x:v>
      </x:c>
      <x:c r="D3" s="8" t="n">
        <x:v>2</x:v>
      </x:c>
      <x:c r="E3" s="8" t="n">
        <x:v>5</x:v>
      </x:c>
      <x:c r="F3" s="8" t="n">
        <x:f>D3*E3</x:f>
        <x:v>10</x:v>
      </x:c>
      <x:c r="G3" s="8" t="str">
        <x:f>IF(F3&gt;=15,"High",IF(F3&gt;=8,"Medium","Low"))</x:f>
        <x:v>Medium</x:v>
      </x:c>
      <x:c r="H3" s="8" t="str">
        <x:v>Role-based access and encryption</x:v>
      </x:c>
      <x:c r="I3" s="8" t="str">
        <x:v>Mitigate</x:v>
      </x:c>
      <x:c r="J3" s="8" t="str">
        <x:v>Security</x:v>
      </x:c>
      <x:c r="K3" s="8" t="str">
        <x:v>Open</x:v>
      </x:c>
      <x:c r="L3" s="8" t="str">
        <x:v>Review access controls</x:v>
      </x:c>
    </x:row>
    <x:row r="4">
      <x:c r="A4" s="8" t="str">
        <x:v>R-003</x:v>
      </x:c>
      <x:c r="B4" s="8" t="str">
        <x:v>Employee Accounts</x:v>
      </x:c>
      <x:c r="C4" s="8" t="str">
        <x:v>Phishing could lead to credential compromise</x:v>
      </x:c>
      <x:c r="D4" s="8" t="n">
        <x:v>4</x:v>
      </x:c>
      <x:c r="E4" s="8" t="n">
        <x:v>4</x:v>
      </x:c>
      <x:c r="F4" s="8" t="n">
        <x:f>D4*E4</x:f>
        <x:v>16</x:v>
      </x:c>
      <x:c r="G4" s="8" t="str">
        <x:f>IF(F4&gt;=15,"High",IF(F4&gt;=8,"Medium","Low"))</x:f>
        <x:v>High</x:v>
      </x:c>
      <x:c r="H4" s="8" t="str">
        <x:v>MFA and security awareness training</x:v>
      </x:c>
      <x:c r="I4" s="8" t="str">
        <x:v>Mitigate</x:v>
      </x:c>
      <x:c r="J4" s="8" t="str">
        <x:v>Security</x:v>
      </x:c>
      <x:c r="K4" s="8" t="str">
        <x:v>In Progress</x:v>
      </x:c>
      <x:c r="L4" s="8" t="str">
        <x:v>Track training completion</x:v>
      </x:c>
    </x:row>
    <x:row r="5">
      <x:c r="A5" s="8" t="str">
        <x:v>R-004</x:v>
      </x:c>
      <x:c r="B5" s="8" t="str">
        <x:v>Cloud Storage</x:v>
      </x:c>
      <x:c r="C5" s="8" t="str">
        <x:v>Misconfiguration could expose internal documents</x:v>
      </x:c>
      <x:c r="D5" s="8" t="n">
        <x:v>3</x:v>
      </x:c>
      <x:c r="E5" s="8" t="n">
        <x:v>4</x:v>
      </x:c>
      <x:c r="F5" s="8" t="n">
        <x:f>D5*E5</x:f>
        <x:v>12</x:v>
      </x:c>
      <x:c r="G5" s="8" t="str">
        <x:f>IF(F5&gt;=15,"High",IF(F5&gt;=8,"Medium","Low"))</x:f>
        <x:v>Medium</x:v>
      </x:c>
      <x:c r="H5" s="8" t="str">
        <x:v>Access reviews and configuration standards</x:v>
      </x:c>
      <x:c r="I5" s="8" t="str">
        <x:v>Mitigate</x:v>
      </x:c>
      <x:c r="J5" s="8" t="str">
        <x:v>IT</x:v>
      </x:c>
      <x:c r="K5" s="8" t="str">
        <x:v>Open</x:v>
      </x:c>
      <x:c r="L5" s="8" t="str">
        <x:v>Evidence needed</x:v>
      </x:c>
    </x:row>
    <x:row r="6">
      <x:c r="A6" s="8" t="str">
        <x:v>R-005</x:v>
      </x:c>
      <x:c r="B6" s="8" t="str">
        <x:v>Critical SaaS Vendor</x:v>
      </x:c>
      <x:c r="C6" s="8" t="str">
        <x:v>Vendor outage could interrupt business operations</x:v>
      </x:c>
      <x:c r="D6" s="8" t="n">
        <x:v>2</x:v>
      </x:c>
      <x:c r="E6" s="8" t="n">
        <x:v>4</x:v>
      </x:c>
      <x:c r="F6" s="8" t="n">
        <x:f>D6*E6</x:f>
        <x:v>8</x:v>
      </x:c>
      <x:c r="G6" s="8" t="str">
        <x:f>IF(F6&gt;=15,"High",IF(F6&gt;=8,"Medium","Low"))</x:f>
        <x:v>Medium</x:v>
      </x:c>
      <x:c r="H6" s="8" t="str">
        <x:v>Vendor review and business continuity plan</x:v>
      </x:c>
      <x:c r="I6" s="8" t="str">
        <x:v>Transfer / Mitigate</x:v>
      </x:c>
      <x:c r="J6" s="8" t="str">
        <x:v>Operations</x:v>
      </x:c>
      <x:c r="K6" s="8" t="str">
        <x:v>Accepted</x:v>
      </x:c>
      <x:c r="L6" s="8" t="str">
        <x:v>Example third-party risk</x:v>
      </x:c>
    </x:row>
    <x:row r="7">
      <x:c r="A7" s="8" t="str">
        <x:v>R-006</x:v>
      </x:c>
      <x:c r="B7" s="8" t="str">
        <x:v>Backups</x:v>
      </x:c>
      <x:c r="C7" s="8" t="str">
        <x:v>Failed or incomplete backups could prevent recovery after an incident</x:v>
      </x:c>
      <x:c r="D7" s="8" t="n">
        <x:v>2</x:v>
      </x:c>
      <x:c r="E7" s="8" t="n">
        <x:v>5</x:v>
      </x:c>
      <x:c r="F7" s="8" t="n">
        <x:f>D7*E7</x:f>
        <x:v>10</x:v>
      </x:c>
      <x:c r="G7" s="8" t="str">
        <x:f>IF(F7&gt;=15,"High",IF(F7&gt;=8,"Medium","Low"))</x:f>
        <x:v>Medium</x:v>
      </x:c>
      <x:c r="H7" s="8" t="str">
        <x:v>Scheduled backups and restore testing</x:v>
      </x:c>
      <x:c r="I7" s="8" t="str">
        <x:v>Mitigate</x:v>
      </x:c>
      <x:c r="J7" s="8" t="str">
        <x:v>IT</x:v>
      </x:c>
      <x:c r="K7" s="8" t="str">
        <x:v>In Progress</x:v>
      </x:c>
      <x:c r="L7" s="8" t="str">
        <x:v>Confirm restore-test evidence</x:v>
      </x:c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</x:sheetData>
  <x:conditionalFormatting sqref="F2:F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{286EABED-4A31-65FE-C310-E99AFBE89E71}</x14:id>
        </x:ext>
      </x:extLst>
    </x:cfRule>
  </x:conditionalFormatting>
  <x:conditionalFormatting sqref="G2:G100">
    <x:cfRule type="expression" dxfId="0" priority="2">
      <x:formula>G2="High"</x:formula>
    </x:cfRule>
    <x:cfRule type="expression" dxfId="1" priority="3">
      <x:formula>G2="Medium"</x:formula>
    </x:cfRule>
    <x:cfRule type="expression" dxfId="2" priority="4">
      <x:formula>G2="Low"</x:formula>
    </x:cfRule>
  </x:conditionalFormatting>
  <x:dataValidations count="4">
    <x:dataValidation type="list" sqref="D2:D100">
      <x:formula1>"1,2,3,4,5"</x:formula1>
    </x:dataValidation>
    <x:dataValidation type="list" sqref="E2:E100">
      <x:formula1>"1,2,3,4,5"</x:formula1>
    </x:dataValidation>
    <x:dataValidation type="list" sqref="I2:I100">
      <x:formula1>"Mitigate,Accept,Avoid,Transfer,Transfer / Mitigate"</x:formula1>
    </x:dataValidation>
    <x:dataValidation type="list" sqref="K2:K100">
      <x:formula1>"Open,In Progress,Accepted,Closed"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16690439647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6EABED-4A31-65FE-C310-E99AFBE89E71}">
            <x14:dataBar gradient="1">
              <x14:cfvo type="min"/>
              <x14:cfvo type="max"/>
              <x14:fillColor rgb="FF156082"/>
            </x14:dataBar>
          </x14:cfRule>
          <xm:sqref>F2:F100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30" hidden="0" customWidth="1"/>
  </x:cols>
  <x:sheetData>
    <x:row r="1" ht="30" customHeight="1">
      <x:c r="A1" s="6" t="str">
        <x:v>Evidence ID</x:v>
      </x:c>
      <x:c r="B1" s="6" t="str">
        <x:v>Control / Requirement</x:v>
      </x:c>
      <x:c r="C1" s="6" t="str">
        <x:v>Evidence Requested</x:v>
      </x:c>
      <x:c r="D1" s="6" t="str">
        <x:v>Evidence Owner</x:v>
      </x:c>
      <x:c r="E1" s="6" t="str">
        <x:v>Date Requested</x:v>
      </x:c>
      <x:c r="F1" s="6" t="str">
        <x:v>Due Date</x:v>
      </x:c>
      <x:c r="G1" s="6" t="str">
        <x:v>Date Received</x:v>
      </x:c>
      <x:c r="H1" s="6" t="str">
        <x:v>Status</x:v>
      </x:c>
      <x:c r="I1" s="6" t="str">
        <x:v>Notes</x:v>
      </x:c>
    </x:row>
    <x:row r="2">
      <x:c r="A2" s="8" t="str">
        <x:v>E-001</x:v>
      </x:c>
      <x:c r="B2" s="8" t="str">
        <x:v>Multi-Factor Authentication</x:v>
      </x:c>
      <x:c r="C2" s="8" t="str">
        <x:v>Screenshot/export showing MFA is enabled</x:v>
      </x:c>
      <x:c r="D2" s="8" t="str">
        <x:v>IT Security</x:v>
      </x:c>
      <x:c r="E2" s="8"/>
      <x:c r="F2" s="8"/>
      <x:c r="G2" s="8"/>
      <x:c r="H2" s="8" t="str">
        <x:v>Requested</x:v>
      </x:c>
      <x:c r="I2" s="8" t="str">
        <x:v>Demonstrates control implementation</x:v>
      </x:c>
    </x:row>
    <x:row r="3">
      <x:c r="A3" s="8" t="str">
        <x:v>E-002</x:v>
      </x:c>
      <x:c r="B3" s="8" t="str">
        <x:v>Patch Management</x:v>
      </x:c>
      <x:c r="C3" s="8" t="str">
        <x:v>Recent patch compliance report</x:v>
      </x:c>
      <x:c r="D3" s="8" t="str">
        <x:v>IT Operations</x:v>
      </x:c>
      <x:c r="E3" s="8"/>
      <x:c r="F3" s="8"/>
      <x:c r="G3" s="8"/>
      <x:c r="H3" s="8" t="str">
        <x:v>Not Started</x:v>
      </x:c>
      <x:c r="I3" s="8" t="str">
        <x:v>Shows systems are being updated</x:v>
      </x:c>
    </x:row>
    <x:row r="4">
      <x:c r="A4" s="8" t="str">
        <x:v>E-003</x:v>
      </x:c>
      <x:c r="B4" s="8" t="str">
        <x:v>Security Awareness</x:v>
      </x:c>
      <x:c r="C4" s="8" t="str">
        <x:v>Training completion report</x:v>
      </x:c>
      <x:c r="D4" s="8" t="str">
        <x:v>HR / Security</x:v>
      </x:c>
      <x:c r="E4" s="8"/>
      <x:c r="F4" s="8"/>
      <x:c r="G4" s="8"/>
      <x:c r="H4" s="8" t="str">
        <x:v>Received</x:v>
      </x:c>
      <x:c r="I4" s="8" t="str">
        <x:v>Useful audit evidence</x:v>
      </x:c>
    </x:row>
    <x:row r="5">
      <x:c r="A5" s="8" t="str">
        <x:v>E-004</x:v>
      </x:c>
      <x:c r="B5" s="8" t="str">
        <x:v>Backup &amp; Recovery</x:v>
      </x:c>
      <x:c r="C5" s="8" t="str">
        <x:v>Backup job logs and latest restore-test result</x:v>
      </x:c>
      <x:c r="D5" s="8" t="str">
        <x:v>IT Operations</x:v>
      </x:c>
      <x:c r="E5" s="8"/>
      <x:c r="F5" s="8"/>
      <x:c r="G5" s="8"/>
      <x:c r="H5" s="8" t="str">
        <x:v>Requested</x:v>
      </x:c>
      <x:c r="I5" s="8" t="str">
        <x:v>Evidence that recovery control works</x:v>
      </x:c>
    </x:row>
    <x:row r="6">
      <x:c r="A6" s="8" t="str">
        <x:v>E-005</x:v>
      </x:c>
      <x:c r="B6" s="8" t="str">
        <x:v>Access Management</x:v>
      </x:c>
      <x:c r="C6" s="8" t="str">
        <x:v>Quarterly user access review record</x:v>
      </x:c>
      <x:c r="D6" s="8" t="str">
        <x:v>System Owner</x:v>
      </x:c>
      <x:c r="E6" s="8"/>
      <x:c r="F6" s="8"/>
      <x:c r="G6" s="8"/>
      <x:c r="H6" s="8" t="str">
        <x:v>Not Started</x:v>
      </x:c>
      <x:c r="I6" s="8" t="str">
        <x:v>Shows access is periodically reviewed</x:v>
      </x:c>
    </x:row>
    <x:row r="7">
      <x:c r="A7" s="8" t="str">
        <x:v>E-006</x:v>
      </x:c>
      <x:c r="B7" s="8" t="str">
        <x:v>Vendor Management</x:v>
      </x:c>
      <x:c r="C7" s="8" t="str">
        <x:v>Completed vendor security review</x:v>
      </x:c>
      <x:c r="D7" s="8" t="str">
        <x:v>Procurement / Security</x:v>
      </x:c>
      <x:c r="E7" s="8"/>
      <x:c r="F7" s="8"/>
      <x:c r="G7" s="8"/>
      <x:c r="H7" s="8" t="str">
        <x:v>Received</x:v>
      </x:c>
      <x:c r="I7" s="8" t="str">
        <x:v>Example third-party evidence</x:v>
      </x:c>
    </x:row>
    <x:row r="8">
      <x:c r="A8" s="8"/>
      <x:c r="B8" s="8"/>
      <x:c r="C8" s="8"/>
      <x:c r="D8" s="8"/>
      <x:c r="E8" s="8"/>
      <x:c r="F8" s="8"/>
      <x:c r="G8" s="8"/>
      <x:c r="H8" s="8"/>
      <x:c r="I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</x:row>
  </x:sheetData>
  <x:conditionalFormatting sqref="H2:H100">
    <x:cfRule type="expression" dxfId="3" priority="1">
      <x:formula>H2="Overdue"</x:formula>
    </x:cfRule>
    <x:cfRule type="expression" dxfId="4" priority="2">
      <x:formula>H2="Received"</x:formula>
    </x:cfRule>
  </x:conditionalFormatting>
  <x:dataValidations count="1">
    <x:dataValidation type="list" sqref="H2:H100">
      <x:formula1>"Not Started,Requested,Received,Overdue"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49c8a50aeb48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18" hidden="0" customWidth="1"/>
    <x:col min="5" max="5" width="12" hidden="0" customWidth="1"/>
  </x:cols>
  <x:sheetData>
    <x:row r="1" ht="28" customHeight="1">
      <x:c r="A1" s="12" t="str">
        <x:v>Cybersecurity Governance Practice Dashboard</x:v>
      </x:c>
      <x:c r="B1" s="12"/>
      <x:c r="C1" s="12"/>
      <x:c r="D1" s="12"/>
      <x:c r="E1" s="12"/>
      <x:c r="F1" s="12"/>
    </x:row>
    <x:row r="3">
      <x:c r="A3" s="4" t="str">
        <x:v>Metric</x:v>
      </x:c>
      <x:c r="B3" s="4" t="str">
        <x:v>Value</x:v>
      </x:c>
      <x:c r="D3" s="4" t="str">
        <x:v>Risk Level</x:v>
      </x:c>
      <x:c r="E3" s="4" t="str">
        <x:v>Count</x:v>
      </x:c>
    </x:row>
    <x:row r="4">
      <x:c r="A4" s="14" t="str">
        <x:v>Total Risks</x:v>
      </x:c>
      <x:c r="B4" t="n">
        <x:f>COUNTA('Risk Register'!A2:A100)</x:f>
        <x:v>6</x:v>
      </x:c>
      <x:c r="D4" s="14" t="str">
        <x:v>High</x:v>
      </x:c>
      <x:c r="E4" t="n">
        <x:f>COUNTIF('Risk Register'!G2:G100,D4)</x:f>
        <x:v>2</x:v>
      </x:c>
    </x:row>
    <x:row r="5">
      <x:c r="A5" s="14" t="str">
        <x:v>High Risks</x:v>
      </x:c>
      <x:c r="B5" t="n">
        <x:f>COUNTIF('Risk Register'!G2:G100,"High")</x:f>
        <x:v>2</x:v>
      </x:c>
      <x:c r="D5" s="14" t="str">
        <x:v>Medium</x:v>
      </x:c>
      <x:c r="E5" t="n">
        <x:f>COUNTIF('Risk Register'!G3:G101,D5)</x:f>
        <x:v>4</x:v>
      </x:c>
    </x:row>
    <x:row r="6">
      <x:c r="A6" s="14" t="str">
        <x:v>Open / In Progress Risks</x:v>
      </x:c>
      <x:c r="B6" t="n">
        <x:f>COUNTIF('Risk Register'!K2:K100,"Open")+COUNTIF('Risk Register'!K2:K100,"In Progress")</x:f>
        <x:v>5</x:v>
      </x:c>
      <x:c r="D6" s="14" t="str">
        <x:v>Low</x:v>
      </x:c>
      <x:c r="E6" t="n">
        <x:f>COUNTIF('Risk Register'!G4:G102,D6)</x:f>
        <x:v>0</x:v>
      </x:c>
    </x:row>
    <x:row r="7">
      <x:c r="A7" s="14" t="str">
        <x:v>Evidence Items Outstanding</x:v>
      </x:c>
      <x:c r="B7" t="n">
        <x:f>COUNTIF('Control Evidence Tracker'!H2:H100,"Requested")+COUNTIF('Control Evidence Tracker'!H2:H100,"Not Started")</x:f>
        <x:v>4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223e30585a8414c"/>
</x:worksheet>
</file>